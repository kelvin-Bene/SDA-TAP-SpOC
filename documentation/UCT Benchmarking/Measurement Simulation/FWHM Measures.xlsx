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usbi5DkV8S8XBHifcRKYbBFntm4DaAnJkVEpNqNq90="/>
    </ext>
  </extLst>
</workbook>
</file>

<file path=xl/sharedStrings.xml><?xml version="1.0" encoding="utf-8"?>
<sst xmlns="http://schemas.openxmlformats.org/spreadsheetml/2006/main" count="90" uniqueCount="64">
  <si>
    <t>South Pole Data</t>
  </si>
  <si>
    <t>Mean:</t>
  </si>
  <si>
    <t>*with a weather balloon</t>
  </si>
  <si>
    <t>S.D:</t>
  </si>
  <si>
    <t>Median:</t>
  </si>
  <si>
    <t>Best:</t>
  </si>
  <si>
    <t>Worst:</t>
  </si>
  <si>
    <t>Atacama Data</t>
  </si>
  <si>
    <t>TAO WX Station</t>
  </si>
  <si>
    <t>Cello Chico</t>
  </si>
  <si>
    <t>Median</t>
  </si>
  <si>
    <t>2" 24</t>
  </si>
  <si>
    <t>0" 67</t>
  </si>
  <si>
    <t>Mode</t>
  </si>
  <si>
    <t>1" 60</t>
  </si>
  <si>
    <t>0" 80</t>
  </si>
  <si>
    <t>Cello Toco</t>
  </si>
  <si>
    <t>0" 95</t>
  </si>
  <si>
    <t>0" 70</t>
  </si>
  <si>
    <t>1" 00</t>
  </si>
  <si>
    <t>0" 71</t>
  </si>
  <si>
    <t>0" 98</t>
  </si>
  <si>
    <t>Lijiang Observatory</t>
  </si>
  <si>
    <t>75th:</t>
  </si>
  <si>
    <t>1.33"</t>
  </si>
  <si>
    <t>Seeing</t>
  </si>
  <si>
    <t>Count</t>
  </si>
  <si>
    <t>Normalized</t>
  </si>
  <si>
    <t>1.09"</t>
  </si>
  <si>
    <t>25th:</t>
  </si>
  <si>
    <t>0.91"</t>
  </si>
  <si>
    <t>1.17"</t>
  </si>
  <si>
    <t>Muztagh-ata Site II</t>
  </si>
  <si>
    <t>Combined Muztagh-ata Site II</t>
  </si>
  <si>
    <t>Seeing (FWHM)</t>
  </si>
  <si>
    <t>Combine Norm</t>
  </si>
  <si>
    <t>Summed</t>
  </si>
  <si>
    <t>Seeing (S.D.)</t>
  </si>
  <si>
    <t>French DIMM</t>
  </si>
  <si>
    <t>NIAOT DIMM</t>
  </si>
  <si>
    <t>Unnormalized</t>
  </si>
  <si>
    <t>Sample Count</t>
  </si>
  <si>
    <t>Median of 0.71"</t>
  </si>
  <si>
    <t>Median of 0.72"</t>
  </si>
  <si>
    <t>Total</t>
  </si>
  <si>
    <t>Worst Possible Case S.D:</t>
  </si>
  <si>
    <t>[From Antarctic Measurements]</t>
  </si>
  <si>
    <t>Best Reasonable Case S.D:</t>
  </si>
  <si>
    <t>[From Maidanak Observatory]</t>
  </si>
  <si>
    <t>Median Conditions at Atacama, Chile, for Cello Chico and Cello Toco are 0.67, 0.95, 0.71, 0.98 arcseconds. It may be reasonable to expect 0.30 arcseconds of sigma on a good day</t>
  </si>
  <si>
    <t>Median (FWHM)</t>
  </si>
  <si>
    <t>Median (S.D.)</t>
  </si>
  <si>
    <t>Median of 0.79"</t>
  </si>
  <si>
    <t>Median of 0.97"</t>
  </si>
  <si>
    <t>Maidanak Observatory</t>
  </si>
  <si>
    <t>Mean</t>
  </si>
  <si>
    <t>SD</t>
  </si>
  <si>
    <t>Xinglong Observatory</t>
  </si>
  <si>
    <t>x-value</t>
  </si>
  <si>
    <t>y-value</t>
  </si>
  <si>
    <t>adding up the y-values</t>
  </si>
  <si>
    <t>Blur Unit (arc second)</t>
  </si>
  <si>
    <t>Density</t>
  </si>
  <si>
    <t>Cumulative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</si>
</sst>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0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sz val="11.0"/>
      <color rgb="FF00000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164" xfId="0" applyFont="1" applyNumberFormat="1"/>
    <xf borderId="0" fillId="0" fontId="2" numFmtId="0" xfId="0" applyAlignment="1" applyFont="1">
      <alignment horizontal="right" shrinkToFit="0" vertical="bottom" wrapText="0"/>
    </xf>
    <xf borderId="0" fillId="0" fontId="3" numFmtId="0" xfId="0" applyFont="1"/>
    <xf borderId="0" fillId="0" fontId="1" numFmtId="165" xfId="0" applyFont="1" applyNumberFormat="1"/>
    <xf borderId="0" fillId="0" fontId="4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wrapText="1"/>
    </xf>
    <xf borderId="0" fillId="0" fontId="5" numFmtId="0" xfId="0" applyFont="1"/>
    <xf borderId="0" fillId="0" fontId="1" numFmtId="9" xfId="0" applyAlignment="1" applyFont="1" applyNumberFormat="1">
      <alignment horizontal="right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Muztagh-ata Seeing Distributions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Sheet1!$I$51:$I$52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Sheet1!$G$53:$G$73</c:f>
            </c:strRef>
          </c:cat>
          <c:val>
            <c:numRef>
              <c:f>Sheet1!$I$53:$I$73</c:f>
              <c:numCache/>
            </c:numRef>
          </c:val>
        </c:ser>
        <c:axId val="1788656265"/>
        <c:axId val="276960097"/>
      </c:barChart>
      <c:catAx>
        <c:axId val="1788656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FWHM (arcseconds)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6960097"/>
      </c:catAx>
      <c:valAx>
        <c:axId val="276960097"/>
        <c:scaling>
          <c:orientation val="minMax"/>
          <c:max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Accumulation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86562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Lijiang Seeing Distributions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Sheet1!$C$21:$C$22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Sheet1!$A$23:$A$49</c:f>
            </c:strRef>
          </c:cat>
          <c:val>
            <c:numRef>
              <c:f>Sheet1!$C$23:$C$49</c:f>
              <c:numCache/>
            </c:numRef>
          </c:val>
        </c:ser>
        <c:axId val="1505553868"/>
        <c:axId val="1932036574"/>
      </c:barChart>
      <c:catAx>
        <c:axId val="1505553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FWHM (arcseconds)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2036574"/>
      </c:catAx>
      <c:valAx>
        <c:axId val="1932036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055538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Blur Cumulative Distribution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Sheet1!$T$51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cat>
            <c:strRef>
              <c:f>Sheet1!$S$52:$S$79</c:f>
            </c:strRef>
          </c:cat>
          <c:val>
            <c:numRef>
              <c:f>Sheet1!$T$52:$T$79</c:f>
              <c:numCache/>
            </c:numRef>
          </c:val>
          <c:smooth val="0"/>
        </c:ser>
        <c:axId val="2056893179"/>
        <c:axId val="1079242803"/>
      </c:lineChart>
      <c:catAx>
        <c:axId val="2056893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Blur Unit (Arcseconds)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9242803"/>
      </c:catAx>
      <c:valAx>
        <c:axId val="1079242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Accumulation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68931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628650</xdr:colOff>
      <xdr:row>51</xdr:row>
      <xdr:rowOff>180975</xdr:rowOff>
    </xdr:from>
    <xdr:ext cx="5324475" cy="4276725"/>
    <xdr:graphicFrame>
      <xdr:nvGraphicFramePr>
        <xdr:cNvPr id="204874274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285750</xdr:colOff>
      <xdr:row>25</xdr:row>
      <xdr:rowOff>85725</xdr:rowOff>
    </xdr:from>
    <xdr:ext cx="4267200" cy="4076700"/>
    <xdr:graphicFrame>
      <xdr:nvGraphicFramePr>
        <xdr:cNvPr id="8023315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685800</xdr:colOff>
      <xdr:row>75</xdr:row>
      <xdr:rowOff>76200</xdr:rowOff>
    </xdr:from>
    <xdr:ext cx="5219700" cy="3533775"/>
    <xdr:graphicFrame>
      <xdr:nvGraphicFramePr>
        <xdr:cNvPr id="21802037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4.5"/>
    <col customWidth="1" min="3" max="6" width="12.63"/>
    <col customWidth="1" min="9" max="9" width="11.25"/>
    <col customWidth="1" min="15" max="15" width="15.1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1</v>
      </c>
      <c r="B2" s="1">
        <v>1.86</v>
      </c>
      <c r="C2" s="1"/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3</v>
      </c>
      <c r="B3" s="1">
        <v>0.75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4</v>
      </c>
      <c r="B4" s="1">
        <v>1.6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5</v>
      </c>
      <c r="B5" s="1">
        <v>0.8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6</v>
      </c>
      <c r="B6" s="1">
        <v>3.1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7</v>
      </c>
      <c r="B8" s="3">
        <v>37721.0</v>
      </c>
      <c r="C8" s="1"/>
      <c r="D8" s="1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8</v>
      </c>
      <c r="C9" s="1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10</v>
      </c>
      <c r="B10" s="1" t="s">
        <v>11</v>
      </c>
      <c r="C10" s="1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13</v>
      </c>
      <c r="B11" s="1" t="s">
        <v>14</v>
      </c>
      <c r="C11" s="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3">
        <v>37751.0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 t="s">
        <v>16</v>
      </c>
      <c r="C13" s="1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10</v>
      </c>
      <c r="B14" s="1" t="s">
        <v>12</v>
      </c>
      <c r="C14" s="1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13</v>
      </c>
      <c r="B15" s="1" t="s">
        <v>18</v>
      </c>
      <c r="C15" s="1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3">
        <v>37812.0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16</v>
      </c>
      <c r="C17" s="1" t="s"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10</v>
      </c>
      <c r="B18" s="1" t="s">
        <v>20</v>
      </c>
      <c r="C18" s="1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13</v>
      </c>
      <c r="B19" s="1" t="s">
        <v>18</v>
      </c>
      <c r="C19" s="1" t="s">
        <v>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1"/>
      <c r="C21" s="1"/>
      <c r="D21" s="1"/>
      <c r="E21" s="1" t="s">
        <v>23</v>
      </c>
      <c r="F21" s="1" t="s">
        <v>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25</v>
      </c>
      <c r="B22" s="1" t="s">
        <v>26</v>
      </c>
      <c r="C22" s="1" t="s">
        <v>27</v>
      </c>
      <c r="D22" s="1"/>
      <c r="E22" s="1" t="s">
        <v>4</v>
      </c>
      <c r="F22" s="1" t="s">
        <v>28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>
        <v>0.4</v>
      </c>
      <c r="B23" s="4">
        <v>1395.0</v>
      </c>
      <c r="C23" s="1">
        <f t="shared" ref="C23:C49" si="1">B23/sum($B$23:$B$49)</f>
        <v>0.003643115687</v>
      </c>
      <c r="D23" s="1"/>
      <c r="E23" s="1" t="s">
        <v>29</v>
      </c>
      <c r="F23" s="1" t="s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">
        <v>0.5</v>
      </c>
      <c r="B24" s="4">
        <v>4393.0</v>
      </c>
      <c r="C24" s="1">
        <f t="shared" si="1"/>
        <v>0.01147254997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">
        <v>0.6</v>
      </c>
      <c r="B25" s="4">
        <v>13250.0</v>
      </c>
      <c r="C25" s="1">
        <f t="shared" si="1"/>
        <v>0.03460307014</v>
      </c>
      <c r="D25" s="1"/>
      <c r="E25" s="1" t="s">
        <v>1</v>
      </c>
      <c r="F25" s="1" t="s">
        <v>31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">
        <v>0.7</v>
      </c>
      <c r="B26" s="4">
        <v>27406.0</v>
      </c>
      <c r="C26" s="1">
        <f t="shared" si="1"/>
        <v>0.07157220681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>
        <v>0.8</v>
      </c>
      <c r="B27" s="4">
        <v>43654.0</v>
      </c>
      <c r="C27" s="1">
        <f t="shared" si="1"/>
        <v>0.1140047112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">
        <v>0.9</v>
      </c>
      <c r="B28" s="4">
        <v>52441.0</v>
      </c>
      <c r="C28" s="1">
        <f t="shared" si="1"/>
        <v>0.1369524227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>
        <v>1.0</v>
      </c>
      <c r="B29" s="4">
        <v>52022.0</v>
      </c>
      <c r="C29" s="1">
        <f t="shared" si="1"/>
        <v>0.1358581823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>
        <v>1.1</v>
      </c>
      <c r="B30" s="4">
        <v>45049.0</v>
      </c>
      <c r="C30" s="1">
        <f t="shared" si="1"/>
        <v>0.1176478269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">
        <v>1.2</v>
      </c>
      <c r="B31" s="4">
        <v>37169.0</v>
      </c>
      <c r="C31" s="1">
        <f t="shared" si="1"/>
        <v>0.09706879351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>
        <v>1.3</v>
      </c>
      <c r="B32" s="4">
        <v>29498.0</v>
      </c>
      <c r="C32" s="1">
        <f t="shared" si="1"/>
        <v>0.07703557457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>
        <v>1.4</v>
      </c>
      <c r="B33" s="4">
        <v>22245.0</v>
      </c>
      <c r="C33" s="1">
        <f t="shared" si="1"/>
        <v>0.05809398455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>
        <v>1.5</v>
      </c>
      <c r="B34" s="4">
        <v>15760.0</v>
      </c>
      <c r="C34" s="1">
        <f t="shared" si="1"/>
        <v>0.04115806682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>
        <v>1.6</v>
      </c>
      <c r="B35" s="4">
        <v>10739.0</v>
      </c>
      <c r="C35" s="1">
        <f t="shared" si="1"/>
        <v>0.02804546191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>
        <v>1.7</v>
      </c>
      <c r="B36" s="4">
        <v>7531.0</v>
      </c>
      <c r="C36" s="1">
        <f t="shared" si="1"/>
        <v>0.0196676016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>
        <v>1.8</v>
      </c>
      <c r="B37" s="4">
        <v>5230.0</v>
      </c>
      <c r="C37" s="1">
        <f t="shared" si="1"/>
        <v>0.01365841938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>
        <v>1.9</v>
      </c>
      <c r="B38" s="4">
        <v>3487.0</v>
      </c>
      <c r="C38" s="1">
        <f t="shared" si="1"/>
        <v>0.00910648344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>
        <v>2.0</v>
      </c>
      <c r="B39" s="4">
        <v>2580.0</v>
      </c>
      <c r="C39" s="1">
        <f t="shared" si="1"/>
        <v>0.006737805356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>
        <v>2.1</v>
      </c>
      <c r="B40" s="4">
        <v>1883.0</v>
      </c>
      <c r="C40" s="1">
        <f t="shared" si="1"/>
        <v>0.004917553289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>
        <v>2.2</v>
      </c>
      <c r="B41" s="4">
        <v>1464.0</v>
      </c>
      <c r="C41" s="1">
        <f t="shared" si="1"/>
        <v>0.003823312807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>
        <v>2.3</v>
      </c>
      <c r="B42" s="4">
        <v>1185.0</v>
      </c>
      <c r="C42" s="1">
        <f t="shared" si="1"/>
        <v>0.003094689669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>
        <v>2.4</v>
      </c>
      <c r="B43" s="4">
        <v>1185.0</v>
      </c>
      <c r="C43" s="1">
        <f t="shared" si="1"/>
        <v>0.003094689669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>
        <v>2.5</v>
      </c>
      <c r="B44" s="4">
        <v>907.0</v>
      </c>
      <c r="C44" s="1">
        <f t="shared" si="1"/>
        <v>0.002368678084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>
        <v>2.6</v>
      </c>
      <c r="B45" s="4">
        <v>837.0</v>
      </c>
      <c r="C45" s="1">
        <f t="shared" si="1"/>
        <v>0.002185869412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>
        <v>2.7</v>
      </c>
      <c r="B46" s="4">
        <v>628.0</v>
      </c>
      <c r="C46" s="1">
        <f t="shared" si="1"/>
        <v>0.001640054947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>
        <v>2.8</v>
      </c>
      <c r="B47" s="4">
        <v>418.0</v>
      </c>
      <c r="C47" s="1">
        <f t="shared" si="1"/>
        <v>0.00109162893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>
        <v>2.9</v>
      </c>
      <c r="B48" s="4">
        <v>349.0</v>
      </c>
      <c r="C48" s="1">
        <f t="shared" si="1"/>
        <v>0.0009114318098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>
        <v>3.0</v>
      </c>
      <c r="B49" s="4">
        <v>209.0</v>
      </c>
      <c r="C49" s="1">
        <f t="shared" si="1"/>
        <v>0.0005458144649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32</v>
      </c>
      <c r="B51" s="1"/>
      <c r="C51" s="1"/>
      <c r="D51" s="1"/>
      <c r="E51" s="1"/>
      <c r="F51" s="1"/>
      <c r="G51" s="1" t="s">
        <v>33</v>
      </c>
      <c r="H51" s="1"/>
      <c r="I51" s="1"/>
      <c r="J51" s="1"/>
      <c r="K51" s="1"/>
      <c r="L51" s="1"/>
      <c r="M51" s="1"/>
      <c r="N51" s="1" t="s">
        <v>34</v>
      </c>
      <c r="O51" s="1" t="s">
        <v>35</v>
      </c>
      <c r="P51" s="1" t="s">
        <v>36</v>
      </c>
      <c r="Q51" s="1"/>
      <c r="S51" s="1" t="s">
        <v>37</v>
      </c>
      <c r="T51" s="1" t="s">
        <v>36</v>
      </c>
      <c r="U51" s="1"/>
      <c r="W51" s="1"/>
      <c r="X51" s="1"/>
      <c r="Y51" s="1"/>
      <c r="Z51" s="1"/>
    </row>
    <row r="52" ht="15.75" customHeight="1">
      <c r="A52" s="1"/>
      <c r="B52" s="1" t="s">
        <v>38</v>
      </c>
      <c r="C52" s="5" t="s">
        <v>39</v>
      </c>
      <c r="D52" s="1"/>
      <c r="E52" s="1"/>
      <c r="F52" s="1"/>
      <c r="G52" s="1"/>
      <c r="H52" s="1" t="s">
        <v>40</v>
      </c>
      <c r="I52" s="1" t="s">
        <v>27</v>
      </c>
      <c r="J52" s="1"/>
      <c r="K52" s="1"/>
      <c r="L52" s="1"/>
      <c r="M52" s="1"/>
      <c r="N52" s="1">
        <v>0.3</v>
      </c>
      <c r="O52" s="1">
        <f>I53/2</f>
        <v>0.0002811108316</v>
      </c>
      <c r="P52" s="1">
        <f>O52</f>
        <v>0.0002811108316</v>
      </c>
      <c r="Q52" s="1"/>
      <c r="S52" s="1">
        <f t="shared" ref="S52:S79" si="2">N52/(2*sqrt(2*ln(2)))</f>
        <v>0.12739827</v>
      </c>
      <c r="T52" s="1">
        <v>2.8111083164420245E-4</v>
      </c>
      <c r="U52" s="1"/>
      <c r="W52" s="1"/>
      <c r="X52" s="1"/>
      <c r="Y52" s="1"/>
      <c r="Z52" s="1"/>
    </row>
    <row r="53" ht="15.75" customHeight="1">
      <c r="A53" s="1" t="s">
        <v>25</v>
      </c>
      <c r="B53" s="1" t="s">
        <v>41</v>
      </c>
      <c r="C53" s="1" t="s">
        <v>41</v>
      </c>
      <c r="D53" s="1"/>
      <c r="E53" s="1"/>
      <c r="F53" s="1"/>
      <c r="G53" s="4">
        <v>0.3</v>
      </c>
      <c r="H53" s="1">
        <f t="shared" ref="H53:H69" si="3">B54+C54+B74+C74</f>
        <v>76</v>
      </c>
      <c r="I53" s="6">
        <f t="shared" ref="I53:I73" si="4">H53/$H$75</f>
        <v>0.0005622216633</v>
      </c>
      <c r="J53" s="1"/>
      <c r="K53" s="1"/>
      <c r="L53" s="1"/>
      <c r="M53" s="1"/>
      <c r="N53" s="4">
        <v>0.4</v>
      </c>
      <c r="O53" s="1">
        <f t="shared" ref="O53:O72" si="5">(I54+C23)/2</f>
        <v>0.01403138489</v>
      </c>
      <c r="P53" s="1">
        <f t="shared" ref="P53:P79" si="6">sum($O$52:O53)</f>
        <v>0.01431249572</v>
      </c>
      <c r="Q53" s="1"/>
      <c r="S53" s="1">
        <f t="shared" si="2"/>
        <v>0.1698643601</v>
      </c>
      <c r="T53" s="1">
        <v>0.01431249571778172</v>
      </c>
      <c r="U53" s="1"/>
      <c r="W53" s="1"/>
      <c r="X53" s="1"/>
      <c r="Y53" s="1"/>
      <c r="Z53" s="1"/>
    </row>
    <row r="54" ht="15.75" customHeight="1">
      <c r="A54" s="4">
        <v>0.3</v>
      </c>
      <c r="B54" s="4">
        <v>70.0</v>
      </c>
      <c r="C54" s="4">
        <v>6.0</v>
      </c>
      <c r="D54" s="1"/>
      <c r="E54" s="1"/>
      <c r="F54" s="1"/>
      <c r="G54" s="4">
        <v>0.4</v>
      </c>
      <c r="H54" s="1">
        <f t="shared" si="3"/>
        <v>3301</v>
      </c>
      <c r="I54" s="6">
        <f t="shared" si="4"/>
        <v>0.02441965409</v>
      </c>
      <c r="J54" s="1"/>
      <c r="K54" s="1"/>
      <c r="L54" s="1"/>
      <c r="M54" s="1"/>
      <c r="N54" s="4">
        <v>0.5</v>
      </c>
      <c r="O54" s="1">
        <f t="shared" si="5"/>
        <v>0.0422806831</v>
      </c>
      <c r="P54" s="1">
        <f t="shared" si="6"/>
        <v>0.05659317882</v>
      </c>
      <c r="Q54" s="1"/>
      <c r="S54" s="1">
        <f t="shared" si="2"/>
        <v>0.2123304501</v>
      </c>
      <c r="T54" s="1">
        <v>0.05659317881755623</v>
      </c>
      <c r="U54" s="1"/>
      <c r="W54" s="1"/>
      <c r="X54" s="1"/>
      <c r="Y54" s="1"/>
      <c r="Z54" s="1"/>
    </row>
    <row r="55" ht="15.75" customHeight="1">
      <c r="A55" s="4">
        <v>0.4</v>
      </c>
      <c r="B55" s="4">
        <v>1930.0</v>
      </c>
      <c r="C55" s="4">
        <v>97.0</v>
      </c>
      <c r="D55" s="1"/>
      <c r="E55" s="1"/>
      <c r="F55" s="1"/>
      <c r="G55" s="4">
        <v>0.5</v>
      </c>
      <c r="H55" s="1">
        <f t="shared" si="3"/>
        <v>9880</v>
      </c>
      <c r="I55" s="6">
        <f t="shared" si="4"/>
        <v>0.07308881623</v>
      </c>
      <c r="J55" s="1"/>
      <c r="K55" s="1"/>
      <c r="L55" s="1"/>
      <c r="M55" s="1"/>
      <c r="N55" s="4">
        <v>0.6</v>
      </c>
      <c r="O55" s="1">
        <f t="shared" si="5"/>
        <v>0.08167961434</v>
      </c>
      <c r="P55" s="1">
        <f t="shared" si="6"/>
        <v>0.1382727932</v>
      </c>
      <c r="Q55" s="1"/>
      <c r="S55" s="1">
        <f t="shared" si="2"/>
        <v>0.2547965401</v>
      </c>
      <c r="T55" s="1">
        <v>0.1382727931613488</v>
      </c>
      <c r="U55" s="1"/>
      <c r="W55" s="1"/>
      <c r="X55" s="1"/>
      <c r="Y55" s="1"/>
      <c r="Z55" s="1"/>
    </row>
    <row r="56" ht="15.75" customHeight="1">
      <c r="A56" s="4">
        <v>0.5</v>
      </c>
      <c r="B56" s="4">
        <v>4710.0</v>
      </c>
      <c r="C56" s="4">
        <v>599.0</v>
      </c>
      <c r="D56" s="1"/>
      <c r="E56" s="1"/>
      <c r="F56" s="1"/>
      <c r="G56" s="4">
        <v>0.6</v>
      </c>
      <c r="H56" s="1">
        <f t="shared" si="3"/>
        <v>17405</v>
      </c>
      <c r="I56" s="6">
        <f t="shared" si="4"/>
        <v>0.1287561585</v>
      </c>
      <c r="J56" s="1"/>
      <c r="K56" s="1"/>
      <c r="L56" s="1"/>
      <c r="M56" s="1"/>
      <c r="N56" s="4">
        <v>0.7</v>
      </c>
      <c r="O56" s="1">
        <f t="shared" si="5"/>
        <v>0.1106577541</v>
      </c>
      <c r="P56" s="1">
        <f t="shared" si="6"/>
        <v>0.2489305473</v>
      </c>
      <c r="Q56" s="1"/>
      <c r="S56" s="1">
        <f t="shared" si="2"/>
        <v>0.2972626301</v>
      </c>
      <c r="T56" s="1">
        <v>0.24893054728077418</v>
      </c>
      <c r="U56" s="1"/>
      <c r="W56" s="1"/>
      <c r="X56" s="1"/>
      <c r="Y56" s="1"/>
      <c r="Z56" s="1"/>
    </row>
    <row r="57" ht="15.75" customHeight="1">
      <c r="A57" s="4">
        <v>0.6</v>
      </c>
      <c r="B57" s="4">
        <v>6820.0</v>
      </c>
      <c r="C57" s="4">
        <v>1107.0</v>
      </c>
      <c r="D57" s="1"/>
      <c r="E57" s="1"/>
      <c r="F57" s="1"/>
      <c r="G57" s="4">
        <v>0.7</v>
      </c>
      <c r="H57" s="1">
        <f t="shared" si="3"/>
        <v>20242</v>
      </c>
      <c r="I57" s="6">
        <f t="shared" si="4"/>
        <v>0.1497433014</v>
      </c>
      <c r="J57" s="1"/>
      <c r="K57" s="1"/>
      <c r="L57" s="1"/>
      <c r="M57" s="1"/>
      <c r="N57" s="4">
        <v>0.8</v>
      </c>
      <c r="O57" s="1">
        <f t="shared" si="5"/>
        <v>0.1271506046</v>
      </c>
      <c r="P57" s="1">
        <f t="shared" si="6"/>
        <v>0.3760811519</v>
      </c>
      <c r="Q57" s="1"/>
      <c r="S57" s="1">
        <f t="shared" si="2"/>
        <v>0.3397287201</v>
      </c>
      <c r="T57" s="1">
        <v>0.37608115187652125</v>
      </c>
      <c r="U57" s="1"/>
      <c r="W57" s="1"/>
      <c r="X57" s="1"/>
      <c r="Y57" s="1"/>
      <c r="Z57" s="1"/>
    </row>
    <row r="58" ht="15.75" customHeight="1">
      <c r="A58" s="4">
        <v>0.7</v>
      </c>
      <c r="B58" s="4">
        <v>6710.0</v>
      </c>
      <c r="C58" s="4">
        <v>1224.0</v>
      </c>
      <c r="D58" s="1"/>
      <c r="E58" s="1"/>
      <c r="F58" s="1"/>
      <c r="G58" s="4">
        <v>0.8</v>
      </c>
      <c r="H58" s="1">
        <f t="shared" si="3"/>
        <v>18965</v>
      </c>
      <c r="I58" s="6">
        <f t="shared" si="4"/>
        <v>0.140296498</v>
      </c>
      <c r="J58" s="1"/>
      <c r="K58" s="1"/>
      <c r="L58" s="1"/>
      <c r="M58" s="1"/>
      <c r="N58" s="4">
        <v>0.9</v>
      </c>
      <c r="O58" s="1">
        <f t="shared" si="5"/>
        <v>0.1290186073</v>
      </c>
      <c r="P58" s="1">
        <f t="shared" si="6"/>
        <v>0.5050997592</v>
      </c>
      <c r="Q58" s="1"/>
      <c r="S58" s="1">
        <f t="shared" si="2"/>
        <v>0.3821948101</v>
      </c>
      <c r="T58" s="1">
        <v>0.5050997591971355</v>
      </c>
      <c r="U58" s="1"/>
      <c r="W58" s="1"/>
      <c r="X58" s="1"/>
      <c r="Y58" s="1"/>
      <c r="Z58" s="1"/>
    </row>
    <row r="59" ht="15.75" customHeight="1">
      <c r="A59" s="4">
        <v>0.8</v>
      </c>
      <c r="B59" s="4">
        <v>6100.0</v>
      </c>
      <c r="C59" s="4">
        <v>1255.0</v>
      </c>
      <c r="D59" s="1"/>
      <c r="E59" s="1"/>
      <c r="F59" s="1"/>
      <c r="G59" s="4">
        <v>0.9</v>
      </c>
      <c r="H59" s="1">
        <f t="shared" si="3"/>
        <v>16368</v>
      </c>
      <c r="I59" s="6">
        <f t="shared" si="4"/>
        <v>0.1210847919</v>
      </c>
      <c r="J59" s="1"/>
      <c r="K59" s="1"/>
      <c r="L59" s="1"/>
      <c r="M59" s="1"/>
      <c r="N59" s="4">
        <v>1.0</v>
      </c>
      <c r="O59" s="1">
        <f t="shared" si="5"/>
        <v>0.1170975949</v>
      </c>
      <c r="P59" s="1">
        <f t="shared" si="6"/>
        <v>0.6221973541</v>
      </c>
      <c r="Q59" s="1"/>
      <c r="S59" s="1">
        <f t="shared" si="2"/>
        <v>0.4246609001</v>
      </c>
      <c r="T59" s="1">
        <v>0.6221973540752574</v>
      </c>
      <c r="U59" s="1"/>
      <c r="W59" s="1"/>
      <c r="X59" s="1"/>
      <c r="Y59" s="1"/>
      <c r="Z59" s="1"/>
    </row>
    <row r="60" ht="15.75" customHeight="1">
      <c r="A60" s="4">
        <v>0.9</v>
      </c>
      <c r="B60" s="4">
        <v>4880.0</v>
      </c>
      <c r="C60" s="4">
        <v>927.0</v>
      </c>
      <c r="D60" s="1"/>
      <c r="E60" s="1"/>
      <c r="F60" s="1"/>
      <c r="G60" s="4">
        <v>1.0</v>
      </c>
      <c r="H60" s="1">
        <f t="shared" si="3"/>
        <v>13293</v>
      </c>
      <c r="I60" s="6">
        <f t="shared" si="4"/>
        <v>0.0983370075</v>
      </c>
      <c r="J60" s="1"/>
      <c r="K60" s="1"/>
      <c r="L60" s="1"/>
      <c r="M60" s="1"/>
      <c r="N60" s="4">
        <v>1.1</v>
      </c>
      <c r="O60" s="1">
        <f t="shared" si="5"/>
        <v>0.09506871661</v>
      </c>
      <c r="P60" s="1">
        <f t="shared" si="6"/>
        <v>0.7172660707</v>
      </c>
      <c r="Q60" s="1"/>
      <c r="S60" s="1">
        <f t="shared" si="2"/>
        <v>0.4671269902</v>
      </c>
      <c r="T60" s="1">
        <v>0.7172660706872963</v>
      </c>
      <c r="U60" s="1"/>
      <c r="W60" s="1"/>
      <c r="X60" s="1"/>
      <c r="Y60" s="1"/>
      <c r="Z60" s="1"/>
    </row>
    <row r="61" ht="15.75" customHeight="1">
      <c r="A61" s="4">
        <v>1.0</v>
      </c>
      <c r="B61" s="4">
        <v>3900.0</v>
      </c>
      <c r="C61" s="4">
        <v>597.0</v>
      </c>
      <c r="D61" s="1"/>
      <c r="E61" s="1"/>
      <c r="F61" s="1"/>
      <c r="G61" s="4">
        <v>1.1</v>
      </c>
      <c r="H61" s="1">
        <f t="shared" si="3"/>
        <v>9799</v>
      </c>
      <c r="I61" s="6">
        <f t="shared" si="4"/>
        <v>0.0724896063</v>
      </c>
      <c r="J61" s="1"/>
      <c r="K61" s="1"/>
      <c r="L61" s="1"/>
      <c r="M61" s="1"/>
      <c r="N61" s="4">
        <v>1.2</v>
      </c>
      <c r="O61" s="1">
        <f t="shared" si="5"/>
        <v>0.07541746945</v>
      </c>
      <c r="P61" s="1">
        <f t="shared" si="6"/>
        <v>0.7926835401</v>
      </c>
      <c r="Q61" s="1"/>
      <c r="S61" s="1">
        <f t="shared" si="2"/>
        <v>0.5095930802</v>
      </c>
      <c r="T61" s="1">
        <v>0.7926835401341357</v>
      </c>
      <c r="U61" s="1"/>
      <c r="W61" s="1"/>
      <c r="X61" s="1"/>
      <c r="Y61" s="1"/>
      <c r="Z61" s="1"/>
    </row>
    <row r="62" ht="15.75" customHeight="1">
      <c r="A62" s="4">
        <v>1.1</v>
      </c>
      <c r="B62" s="4">
        <v>2740.0</v>
      </c>
      <c r="C62" s="4">
        <v>374.0</v>
      </c>
      <c r="D62" s="1"/>
      <c r="E62" s="1"/>
      <c r="F62" s="1"/>
      <c r="G62" s="4">
        <v>1.2</v>
      </c>
      <c r="H62" s="1">
        <f t="shared" si="3"/>
        <v>7268</v>
      </c>
      <c r="I62" s="6">
        <f t="shared" si="4"/>
        <v>0.05376614538</v>
      </c>
      <c r="J62" s="1"/>
      <c r="K62" s="1"/>
      <c r="L62" s="1"/>
      <c r="M62" s="1"/>
      <c r="N62" s="4">
        <v>1.3</v>
      </c>
      <c r="O62" s="1">
        <f t="shared" si="5"/>
        <v>0.05798101355</v>
      </c>
      <c r="P62" s="1">
        <f t="shared" si="6"/>
        <v>0.8506645537</v>
      </c>
      <c r="Q62" s="1"/>
      <c r="S62" s="1">
        <f t="shared" si="2"/>
        <v>0.5520591702</v>
      </c>
      <c r="T62" s="1">
        <v>0.8506645536825933</v>
      </c>
      <c r="U62" s="1"/>
      <c r="W62" s="1"/>
      <c r="X62" s="1"/>
      <c r="Y62" s="1"/>
      <c r="Z62" s="1"/>
    </row>
    <row r="63" ht="15.75" customHeight="1">
      <c r="A63" s="4">
        <v>1.2</v>
      </c>
      <c r="B63" s="4">
        <v>1840.0</v>
      </c>
      <c r="C63" s="4">
        <v>192.0</v>
      </c>
      <c r="D63" s="1"/>
      <c r="E63" s="1"/>
      <c r="F63" s="1"/>
      <c r="G63" s="4">
        <v>1.3</v>
      </c>
      <c r="H63" s="1">
        <f t="shared" si="3"/>
        <v>5262</v>
      </c>
      <c r="I63" s="6">
        <f t="shared" si="4"/>
        <v>0.03892645253</v>
      </c>
      <c r="J63" s="1"/>
      <c r="K63" s="1"/>
      <c r="L63" s="1"/>
      <c r="M63" s="1"/>
      <c r="N63" s="4">
        <v>1.4</v>
      </c>
      <c r="O63" s="1">
        <f t="shared" si="5"/>
        <v>0.0430951362</v>
      </c>
      <c r="P63" s="1">
        <f t="shared" si="6"/>
        <v>0.8937596899</v>
      </c>
      <c r="Q63" s="1"/>
      <c r="S63" s="1">
        <f t="shared" si="2"/>
        <v>0.5945252602</v>
      </c>
      <c r="T63" s="1">
        <v>0.8937596898863669</v>
      </c>
      <c r="U63" s="1"/>
      <c r="W63" s="1"/>
      <c r="X63" s="1"/>
      <c r="Y63" s="1"/>
      <c r="Z63" s="1"/>
    </row>
    <row r="64" ht="15.75" customHeight="1">
      <c r="A64" s="4">
        <v>1.3</v>
      </c>
      <c r="B64" s="4">
        <v>1120.0</v>
      </c>
      <c r="C64" s="4">
        <v>93.0</v>
      </c>
      <c r="D64" s="1"/>
      <c r="E64" s="1"/>
      <c r="F64" s="1"/>
      <c r="G64" s="4">
        <v>1.4</v>
      </c>
      <c r="H64" s="1">
        <f t="shared" si="3"/>
        <v>3798</v>
      </c>
      <c r="I64" s="6">
        <f t="shared" si="4"/>
        <v>0.02809628786</v>
      </c>
      <c r="J64" s="1"/>
      <c r="K64" s="1"/>
      <c r="L64" s="1"/>
      <c r="M64" s="1"/>
      <c r="N64" s="4">
        <v>1.5</v>
      </c>
      <c r="O64" s="1">
        <f t="shared" si="5"/>
        <v>0.03120206379</v>
      </c>
      <c r="P64" s="1">
        <f t="shared" si="6"/>
        <v>0.9249617537</v>
      </c>
      <c r="Q64" s="1"/>
      <c r="S64" s="1">
        <f t="shared" si="2"/>
        <v>0.6369913502</v>
      </c>
      <c r="T64" s="1">
        <v>0.9249617536733342</v>
      </c>
      <c r="U64" s="1"/>
      <c r="W64" s="1"/>
      <c r="X64" s="1"/>
      <c r="Y64" s="1"/>
      <c r="Z64" s="1"/>
    </row>
    <row r="65" ht="15.75" customHeight="1">
      <c r="A65" s="4">
        <v>1.4</v>
      </c>
      <c r="B65" s="4">
        <v>600.0</v>
      </c>
      <c r="C65" s="4">
        <v>34.0</v>
      </c>
      <c r="D65" s="1"/>
      <c r="E65" s="1"/>
      <c r="F65" s="1"/>
      <c r="G65" s="4">
        <v>1.5</v>
      </c>
      <c r="H65" s="1">
        <f t="shared" si="3"/>
        <v>2872</v>
      </c>
      <c r="I65" s="6">
        <f t="shared" si="4"/>
        <v>0.02124606075</v>
      </c>
      <c r="J65" s="1"/>
      <c r="K65" s="1"/>
      <c r="L65" s="1"/>
      <c r="M65" s="1"/>
      <c r="N65" s="4">
        <v>1.6</v>
      </c>
      <c r="O65" s="1">
        <f t="shared" si="5"/>
        <v>0.02166080815</v>
      </c>
      <c r="P65" s="1">
        <f t="shared" si="6"/>
        <v>0.9466225618</v>
      </c>
      <c r="Q65" s="1"/>
      <c r="S65" s="1">
        <f t="shared" si="2"/>
        <v>0.6794574402</v>
      </c>
      <c r="T65" s="1">
        <v>0.9466225618278878</v>
      </c>
      <c r="U65" s="1"/>
      <c r="W65" s="1"/>
      <c r="X65" s="1"/>
      <c r="Y65" s="1"/>
      <c r="Z65" s="1"/>
    </row>
    <row r="66" ht="15.75" customHeight="1">
      <c r="A66" s="4">
        <v>1.5</v>
      </c>
      <c r="B66" s="4">
        <v>370.0</v>
      </c>
      <c r="C66" s="4">
        <v>12.0</v>
      </c>
      <c r="D66" s="1"/>
      <c r="E66" s="1"/>
      <c r="F66" s="1"/>
      <c r="G66" s="4">
        <v>1.6</v>
      </c>
      <c r="H66" s="1">
        <f t="shared" si="3"/>
        <v>2065</v>
      </c>
      <c r="I66" s="6">
        <f t="shared" si="4"/>
        <v>0.0152761544</v>
      </c>
      <c r="J66" s="1"/>
      <c r="K66" s="1"/>
      <c r="L66" s="1"/>
      <c r="M66" s="1"/>
      <c r="N66" s="4">
        <v>1.7</v>
      </c>
      <c r="O66" s="1">
        <f t="shared" si="5"/>
        <v>0.01524148548</v>
      </c>
      <c r="P66" s="1">
        <f t="shared" si="6"/>
        <v>0.9618640473</v>
      </c>
      <c r="Q66" s="1"/>
      <c r="S66" s="1">
        <f t="shared" si="2"/>
        <v>0.7219235302</v>
      </c>
      <c r="T66" s="1">
        <v>0.9618640473115309</v>
      </c>
      <c r="U66" s="1"/>
      <c r="W66" s="1"/>
      <c r="X66" s="1"/>
      <c r="Y66" s="1"/>
      <c r="Z66" s="1"/>
    </row>
    <row r="67" ht="15.75" customHeight="1">
      <c r="A67" s="4">
        <v>1.6</v>
      </c>
      <c r="B67" s="4">
        <v>210.0</v>
      </c>
      <c r="C67" s="4">
        <v>12.0</v>
      </c>
      <c r="D67" s="1"/>
      <c r="E67" s="1"/>
      <c r="F67" s="1"/>
      <c r="G67" s="4">
        <v>1.7</v>
      </c>
      <c r="H67" s="1">
        <f t="shared" si="3"/>
        <v>1462</v>
      </c>
      <c r="I67" s="6">
        <f t="shared" si="4"/>
        <v>0.01081536936</v>
      </c>
      <c r="J67" s="1"/>
      <c r="K67" s="1"/>
      <c r="L67" s="1"/>
      <c r="M67" s="1"/>
      <c r="N67" s="4">
        <v>1.8</v>
      </c>
      <c r="O67" s="1">
        <f t="shared" si="5"/>
        <v>0.01073517072</v>
      </c>
      <c r="P67" s="1">
        <f t="shared" si="6"/>
        <v>0.972599218</v>
      </c>
      <c r="Q67" s="1"/>
      <c r="S67" s="1">
        <f t="shared" si="2"/>
        <v>0.7643896203</v>
      </c>
      <c r="T67" s="1">
        <v>0.9725992180326859</v>
      </c>
      <c r="U67" s="1"/>
      <c r="W67" s="1"/>
      <c r="X67" s="1"/>
      <c r="Y67" s="1"/>
      <c r="Z67" s="1"/>
    </row>
    <row r="68" ht="15.75" customHeight="1">
      <c r="A68" s="4">
        <v>1.7</v>
      </c>
      <c r="B68" s="4">
        <v>100.0</v>
      </c>
      <c r="C68" s="1">
        <v>0.0</v>
      </c>
      <c r="D68" s="1"/>
      <c r="E68" s="1"/>
      <c r="F68" s="1"/>
      <c r="G68" s="4">
        <v>1.8</v>
      </c>
      <c r="H68" s="1">
        <f t="shared" si="3"/>
        <v>1056</v>
      </c>
      <c r="I68" s="6">
        <f t="shared" si="4"/>
        <v>0.007811922058</v>
      </c>
      <c r="J68" s="1"/>
      <c r="K68" s="1"/>
      <c r="L68" s="1"/>
      <c r="M68" s="1"/>
      <c r="N68" s="4">
        <v>1.9</v>
      </c>
      <c r="O68" s="1">
        <f t="shared" si="5"/>
        <v>0.007297771155</v>
      </c>
      <c r="P68" s="1">
        <f t="shared" si="6"/>
        <v>0.9798969892</v>
      </c>
      <c r="Q68" s="1"/>
      <c r="S68" s="1">
        <f t="shared" si="2"/>
        <v>0.8068557103</v>
      </c>
      <c r="T68" s="1">
        <v>0.9798969891880219</v>
      </c>
      <c r="U68" s="1"/>
      <c r="W68" s="1"/>
      <c r="X68" s="1"/>
      <c r="Y68" s="1"/>
      <c r="Z68" s="1"/>
    </row>
    <row r="69" ht="15.75" customHeight="1">
      <c r="A69" s="4">
        <v>1.8</v>
      </c>
      <c r="B69" s="4">
        <v>50.0</v>
      </c>
      <c r="C69" s="7">
        <v>0.0</v>
      </c>
      <c r="D69" s="1"/>
      <c r="E69" s="1"/>
      <c r="F69" s="1"/>
      <c r="G69" s="4">
        <v>1.9</v>
      </c>
      <c r="H69" s="1">
        <f t="shared" si="3"/>
        <v>742</v>
      </c>
      <c r="I69" s="6">
        <f t="shared" si="4"/>
        <v>0.005489058871</v>
      </c>
      <c r="J69" s="1"/>
      <c r="K69" s="1"/>
      <c r="L69" s="1"/>
      <c r="M69" s="1"/>
      <c r="N69" s="4">
        <v>2.0</v>
      </c>
      <c r="O69" s="1">
        <f t="shared" si="5"/>
        <v>0.005125845376</v>
      </c>
      <c r="P69" s="1">
        <f t="shared" si="6"/>
        <v>0.9850228346</v>
      </c>
      <c r="Q69" s="1"/>
      <c r="S69" s="1">
        <f t="shared" si="2"/>
        <v>0.8493218003</v>
      </c>
      <c r="T69" s="1">
        <v>0.9850228345636841</v>
      </c>
      <c r="U69" s="1"/>
      <c r="W69" s="1"/>
      <c r="X69" s="1"/>
      <c r="Y69" s="1"/>
      <c r="Z69" s="1"/>
    </row>
    <row r="70" ht="15.75" customHeight="1">
      <c r="A70" s="4">
        <v>1.9</v>
      </c>
      <c r="B70" s="4">
        <v>20.0</v>
      </c>
      <c r="C70" s="1">
        <v>0.0</v>
      </c>
      <c r="D70" s="1"/>
      <c r="E70" s="1"/>
      <c r="F70" s="1"/>
      <c r="G70" s="1">
        <v>2.0</v>
      </c>
      <c r="H70" s="1">
        <f t="shared" ref="H70:H73" si="7">sum(B91,C91)</f>
        <v>475</v>
      </c>
      <c r="I70" s="6">
        <f t="shared" si="4"/>
        <v>0.003513885396</v>
      </c>
      <c r="J70" s="1"/>
      <c r="K70" s="1"/>
      <c r="L70" s="1"/>
      <c r="M70" s="1"/>
      <c r="N70" s="4">
        <v>2.1</v>
      </c>
      <c r="O70" s="1">
        <f t="shared" si="5"/>
        <v>0.003805149575</v>
      </c>
      <c r="P70" s="1">
        <f t="shared" si="6"/>
        <v>0.9888279841</v>
      </c>
      <c r="Q70" s="1"/>
      <c r="S70" s="1">
        <f t="shared" si="2"/>
        <v>0.8917878903</v>
      </c>
      <c r="T70" s="1">
        <v>0.9888279841385545</v>
      </c>
      <c r="U70" s="1"/>
      <c r="W70" s="1"/>
      <c r="X70" s="1"/>
      <c r="Y70" s="1"/>
      <c r="Z70" s="1"/>
    </row>
    <row r="71" ht="15.75" customHeight="1">
      <c r="A71" s="1"/>
      <c r="B71" s="1" t="s">
        <v>42</v>
      </c>
      <c r="C71" s="1" t="s">
        <v>43</v>
      </c>
      <c r="D71" s="1"/>
      <c r="E71" s="1"/>
      <c r="F71" s="1"/>
      <c r="G71" s="1">
        <v>2.1</v>
      </c>
      <c r="H71" s="1">
        <f t="shared" si="7"/>
        <v>364</v>
      </c>
      <c r="I71" s="6">
        <f t="shared" si="4"/>
        <v>0.002692745861</v>
      </c>
      <c r="J71" s="1"/>
      <c r="K71" s="1"/>
      <c r="L71" s="1"/>
      <c r="M71" s="1"/>
      <c r="N71" s="4">
        <v>2.2</v>
      </c>
      <c r="O71" s="1">
        <f t="shared" si="5"/>
        <v>0.002902941967</v>
      </c>
      <c r="P71" s="1">
        <f t="shared" si="6"/>
        <v>0.9917309261</v>
      </c>
      <c r="Q71" s="1"/>
      <c r="S71" s="1">
        <f t="shared" si="2"/>
        <v>0.9342539803</v>
      </c>
      <c r="T71" s="1">
        <v>0.9917309261060391</v>
      </c>
      <c r="U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>
        <v>2.2</v>
      </c>
      <c r="H72" s="1">
        <f t="shared" si="7"/>
        <v>268</v>
      </c>
      <c r="I72" s="6">
        <f t="shared" si="4"/>
        <v>0.001982571128</v>
      </c>
      <c r="J72" s="1"/>
      <c r="K72" s="1"/>
      <c r="L72" s="1"/>
      <c r="M72" s="1"/>
      <c r="N72" s="4">
        <v>2.3</v>
      </c>
      <c r="O72" s="1">
        <f t="shared" si="5"/>
        <v>0.002349990235</v>
      </c>
      <c r="P72" s="1">
        <f t="shared" si="6"/>
        <v>0.9940809163</v>
      </c>
      <c r="Q72" s="1"/>
      <c r="S72" s="1">
        <f t="shared" si="2"/>
        <v>0.9767200703</v>
      </c>
      <c r="T72" s="1">
        <v>0.9940809163415283</v>
      </c>
      <c r="U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>
        <v>2.3</v>
      </c>
      <c r="H73" s="1">
        <f t="shared" si="7"/>
        <v>217</v>
      </c>
      <c r="I73" s="6">
        <f t="shared" si="4"/>
        <v>0.001605290802</v>
      </c>
      <c r="J73" s="1"/>
      <c r="K73" s="1"/>
      <c r="L73" s="1"/>
      <c r="M73" s="1"/>
      <c r="N73" s="4">
        <v>2.4</v>
      </c>
      <c r="O73" s="1">
        <f t="shared" ref="O73:O79" si="8">C43/2</f>
        <v>0.001547344835</v>
      </c>
      <c r="P73" s="1">
        <f t="shared" si="6"/>
        <v>0.9956282612</v>
      </c>
      <c r="Q73" s="1"/>
      <c r="S73" s="1">
        <f t="shared" si="2"/>
        <v>1.01918616</v>
      </c>
      <c r="T73" s="1">
        <v>0.9956282611761387</v>
      </c>
      <c r="U73" s="1"/>
      <c r="W73" s="1"/>
      <c r="X73" s="1"/>
      <c r="Y73" s="1"/>
      <c r="Z73" s="1"/>
    </row>
    <row r="74" ht="15.75" customHeight="1">
      <c r="A74" s="4">
        <v>0.3</v>
      </c>
      <c r="B74" s="1">
        <v>0.0</v>
      </c>
      <c r="C74" s="1">
        <v>0.0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4">
        <v>2.5</v>
      </c>
      <c r="O74" s="1">
        <f t="shared" si="8"/>
        <v>0.001184339042</v>
      </c>
      <c r="P74" s="1">
        <f t="shared" si="6"/>
        <v>0.9968126002</v>
      </c>
      <c r="Q74" s="1"/>
      <c r="S74" s="1">
        <f t="shared" si="2"/>
        <v>1.06165225</v>
      </c>
      <c r="T74" s="1">
        <v>0.9968126002183257</v>
      </c>
      <c r="U74" s="1"/>
      <c r="W74" s="1"/>
      <c r="X74" s="1"/>
      <c r="Y74" s="1"/>
      <c r="Z74" s="1"/>
    </row>
    <row r="75" ht="15.75" customHeight="1">
      <c r="A75" s="4">
        <v>0.4</v>
      </c>
      <c r="B75" s="4">
        <v>1274.0</v>
      </c>
      <c r="C75" s="1">
        <v>0.0</v>
      </c>
      <c r="D75" s="1"/>
      <c r="E75" s="1"/>
      <c r="F75" s="1"/>
      <c r="G75" s="1" t="s">
        <v>44</v>
      </c>
      <c r="H75" s="1">
        <f>sum(H53:H73)</f>
        <v>135178</v>
      </c>
      <c r="I75" s="1"/>
      <c r="J75" s="1"/>
      <c r="K75" s="1"/>
      <c r="L75" s="1"/>
      <c r="M75" s="1"/>
      <c r="N75" s="4">
        <v>2.6</v>
      </c>
      <c r="O75" s="1">
        <f t="shared" si="8"/>
        <v>0.001092934706</v>
      </c>
      <c r="P75" s="1">
        <f t="shared" si="6"/>
        <v>0.9979055349</v>
      </c>
      <c r="Q75" s="1"/>
      <c r="S75" s="1">
        <f t="shared" si="2"/>
        <v>1.10411834</v>
      </c>
      <c r="T75" s="1">
        <v>0.997905534924291</v>
      </c>
      <c r="U75" s="1"/>
      <c r="W75" s="1"/>
      <c r="X75" s="1"/>
      <c r="Y75" s="1"/>
      <c r="Z75" s="1"/>
    </row>
    <row r="76" ht="15.75" customHeight="1">
      <c r="A76" s="4">
        <v>0.5</v>
      </c>
      <c r="B76" s="4">
        <v>4548.0</v>
      </c>
      <c r="C76" s="4">
        <v>23.0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4">
        <v>2.7</v>
      </c>
      <c r="O76" s="1">
        <f t="shared" si="8"/>
        <v>0.0008200274735</v>
      </c>
      <c r="P76" s="1">
        <f t="shared" si="6"/>
        <v>0.9987255624</v>
      </c>
      <c r="Q76" s="1"/>
      <c r="S76" s="1">
        <f t="shared" si="2"/>
        <v>1.14658443</v>
      </c>
      <c r="T76" s="1">
        <v>0.998725562397823</v>
      </c>
      <c r="U76" s="1"/>
      <c r="W76" s="1"/>
      <c r="X76" s="1"/>
      <c r="Y76" s="1"/>
      <c r="Z76" s="1"/>
    </row>
    <row r="77" ht="15.75" customHeight="1">
      <c r="A77" s="4">
        <v>0.6</v>
      </c>
      <c r="B77" s="4">
        <v>9339.0</v>
      </c>
      <c r="C77" s="4">
        <v>139.0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4">
        <v>2.8</v>
      </c>
      <c r="O77" s="1">
        <f t="shared" si="8"/>
        <v>0.0005458144649</v>
      </c>
      <c r="P77" s="1">
        <f t="shared" si="6"/>
        <v>0.9992713769</v>
      </c>
      <c r="Q77" s="1"/>
      <c r="S77" s="1">
        <f t="shared" si="2"/>
        <v>1.18905052</v>
      </c>
      <c r="T77" s="1">
        <v>0.9992713768626897</v>
      </c>
      <c r="U77" s="1"/>
      <c r="W77" s="1"/>
      <c r="X77" s="1"/>
      <c r="Y77" s="1"/>
      <c r="Z77" s="1"/>
    </row>
    <row r="78" ht="15.75" customHeight="1">
      <c r="A78" s="4">
        <v>0.7</v>
      </c>
      <c r="B78" s="4">
        <v>11581.0</v>
      </c>
      <c r="C78" s="4">
        <v>727.0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4">
        <v>2.9</v>
      </c>
      <c r="O78" s="1">
        <f t="shared" si="8"/>
        <v>0.0004557159049</v>
      </c>
      <c r="P78" s="1">
        <f t="shared" si="6"/>
        <v>0.9997270928</v>
      </c>
      <c r="Q78" s="1"/>
      <c r="S78" s="1">
        <f t="shared" si="2"/>
        <v>1.23151661</v>
      </c>
      <c r="T78" s="1">
        <v>0.9997270927675665</v>
      </c>
      <c r="U78" s="1"/>
      <c r="W78" s="1"/>
      <c r="X78" s="1"/>
      <c r="Y78" s="1"/>
      <c r="Z78" s="1"/>
    </row>
    <row r="79" ht="15.75" customHeight="1">
      <c r="A79" s="4">
        <v>0.8</v>
      </c>
      <c r="B79" s="4">
        <v>9694.0</v>
      </c>
      <c r="C79" s="4">
        <v>1916.0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4">
        <v>3.0</v>
      </c>
      <c r="O79" s="1">
        <f t="shared" si="8"/>
        <v>0.0002729072324</v>
      </c>
      <c r="P79" s="1">
        <f t="shared" si="6"/>
        <v>1</v>
      </c>
      <c r="Q79" s="1"/>
      <c r="S79" s="1">
        <f t="shared" si="2"/>
        <v>1.2739827</v>
      </c>
      <c r="T79" s="1">
        <v>0.9999999999999999</v>
      </c>
      <c r="U79" s="1"/>
      <c r="W79" s="1"/>
      <c r="X79" s="1"/>
      <c r="Y79" s="1"/>
      <c r="Z79" s="1"/>
    </row>
    <row r="80" ht="15.75" customHeight="1">
      <c r="A80" s="4">
        <v>0.9</v>
      </c>
      <c r="B80" s="4">
        <v>7677.0</v>
      </c>
      <c r="C80" s="4">
        <v>2884.0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>
        <v>1.0</v>
      </c>
      <c r="B81" s="4">
        <v>6081.0</v>
      </c>
      <c r="C81" s="4">
        <v>2715.0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>
        <v>1.1</v>
      </c>
      <c r="B82" s="4">
        <v>4742.0</v>
      </c>
      <c r="C82" s="4">
        <v>1943.0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>
        <v>1.2</v>
      </c>
      <c r="B83" s="4">
        <v>3726.0</v>
      </c>
      <c r="C83" s="4">
        <v>1510.0</v>
      </c>
      <c r="D83" s="1"/>
      <c r="E83" s="1"/>
      <c r="F83" s="1"/>
      <c r="G83" s="1"/>
      <c r="H83" s="1"/>
      <c r="I83" s="1"/>
      <c r="J83" s="1"/>
      <c r="K83" s="1"/>
      <c r="L83" s="1"/>
      <c r="M83" s="1" t="s">
        <v>45</v>
      </c>
      <c r="O83" s="1">
        <f>3.1/(2*sqrt(2*ln(2)))</f>
        <v>1.31644879</v>
      </c>
      <c r="P83" s="1" t="s">
        <v>46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>
        <v>1.3</v>
      </c>
      <c r="B84" s="4">
        <v>2919.0</v>
      </c>
      <c r="C84" s="4">
        <v>1130.0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>
        <v>1.4</v>
      </c>
      <c r="B85" s="4">
        <v>2403.0</v>
      </c>
      <c r="C85" s="4">
        <v>761.0</v>
      </c>
      <c r="D85" s="1"/>
      <c r="E85" s="1"/>
      <c r="F85" s="1"/>
      <c r="G85" s="1"/>
      <c r="H85" s="1"/>
      <c r="I85" s="1"/>
      <c r="J85" s="1"/>
      <c r="K85" s="1"/>
      <c r="L85" s="1"/>
      <c r="M85" s="1" t="s">
        <v>47</v>
      </c>
      <c r="N85" s="1"/>
      <c r="O85" s="1">
        <f>B101/(2*sqrt(2*ln(2)))</f>
        <v>0.2547965401</v>
      </c>
      <c r="P85" s="1" t="s">
        <v>48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">
        <v>1.5</v>
      </c>
      <c r="B86" s="4">
        <v>1952.0</v>
      </c>
      <c r="C86" s="4">
        <v>538.0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">
        <v>1.6</v>
      </c>
      <c r="B87" s="4">
        <v>1500.0</v>
      </c>
      <c r="C87" s="4">
        <v>343.0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3">
        <v>37751.0</v>
      </c>
      <c r="O87" s="1"/>
      <c r="P87" s="8" t="s">
        <v>49</v>
      </c>
      <c r="S87" s="1"/>
      <c r="T87" s="1"/>
      <c r="U87" s="1"/>
      <c r="V87" s="1"/>
      <c r="W87" s="1"/>
      <c r="X87" s="1"/>
      <c r="Y87" s="1"/>
      <c r="Z87" s="1"/>
    </row>
    <row r="88" ht="15.75" customHeight="1">
      <c r="A88" s="4">
        <v>1.7</v>
      </c>
      <c r="B88" s="4">
        <v>1129.0</v>
      </c>
      <c r="C88" s="4">
        <v>233.0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 t="s">
        <v>16</v>
      </c>
      <c r="O88" s="1" t="s">
        <v>9</v>
      </c>
      <c r="S88" s="1"/>
      <c r="T88" s="1"/>
      <c r="U88" s="1"/>
      <c r="V88" s="1"/>
      <c r="W88" s="1"/>
      <c r="X88" s="1"/>
      <c r="Y88" s="1"/>
      <c r="Z88" s="1"/>
    </row>
    <row r="89" ht="15.75" customHeight="1">
      <c r="A89" s="4">
        <v>1.8</v>
      </c>
      <c r="B89" s="4">
        <v>855.0</v>
      </c>
      <c r="C89" s="4">
        <v>151.0</v>
      </c>
      <c r="D89" s="1"/>
      <c r="E89" s="1"/>
      <c r="F89" s="1"/>
      <c r="G89" s="1"/>
      <c r="H89" s="1"/>
      <c r="I89" s="1"/>
      <c r="J89" s="1"/>
      <c r="K89" s="1"/>
      <c r="L89" s="1"/>
      <c r="M89" s="9" t="s">
        <v>50</v>
      </c>
      <c r="N89" s="1">
        <v>0.67</v>
      </c>
      <c r="O89" s="1">
        <v>0.95</v>
      </c>
      <c r="S89" s="1"/>
      <c r="T89" s="1"/>
      <c r="U89" s="1"/>
      <c r="V89" s="1"/>
      <c r="W89" s="1"/>
      <c r="X89" s="1"/>
      <c r="Y89" s="1"/>
      <c r="Z89" s="1"/>
    </row>
    <row r="90" ht="15.75" customHeight="1">
      <c r="A90" s="4">
        <v>1.9</v>
      </c>
      <c r="B90" s="4">
        <v>613.0</v>
      </c>
      <c r="C90" s="4">
        <v>109.0</v>
      </c>
      <c r="D90" s="1"/>
      <c r="E90" s="1"/>
      <c r="F90" s="1"/>
      <c r="G90" s="1"/>
      <c r="H90" s="1"/>
      <c r="I90" s="1"/>
      <c r="J90" s="1"/>
      <c r="K90" s="1"/>
      <c r="L90" s="1"/>
      <c r="M90" s="9" t="s">
        <v>51</v>
      </c>
      <c r="N90" s="1">
        <f t="shared" ref="N90:O90" si="9">N89/(2*sqrt(2*ln(2)))</f>
        <v>0.2845228031</v>
      </c>
      <c r="O90" s="1">
        <f t="shared" si="9"/>
        <v>0.4034278551</v>
      </c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>
        <v>2.0</v>
      </c>
      <c r="B91" s="4">
        <v>403.0</v>
      </c>
      <c r="C91" s="4">
        <v>72.0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3">
        <v>37812.0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>
        <v>2.1</v>
      </c>
      <c r="B92" s="4">
        <v>323.0</v>
      </c>
      <c r="C92" s="4">
        <v>41.0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 t="s">
        <v>16</v>
      </c>
      <c r="O92" s="1" t="s">
        <v>9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>
        <v>2.2</v>
      </c>
      <c r="B93" s="4">
        <v>242.0</v>
      </c>
      <c r="C93" s="4">
        <v>26.0</v>
      </c>
      <c r="D93" s="1"/>
      <c r="E93" s="1"/>
      <c r="F93" s="1"/>
      <c r="G93" s="1"/>
      <c r="H93" s="1"/>
      <c r="I93" s="1"/>
      <c r="J93" s="1"/>
      <c r="K93" s="1"/>
      <c r="L93" s="1"/>
      <c r="M93" s="9" t="s">
        <v>50</v>
      </c>
      <c r="N93" s="1">
        <v>0.71</v>
      </c>
      <c r="O93" s="1">
        <v>0.98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>
        <v>2.3</v>
      </c>
      <c r="B94" s="4">
        <v>194.0</v>
      </c>
      <c r="C94" s="4">
        <v>23.0</v>
      </c>
      <c r="D94" s="1"/>
      <c r="E94" s="1"/>
      <c r="F94" s="1"/>
      <c r="G94" s="1"/>
      <c r="H94" s="1"/>
      <c r="I94" s="1"/>
      <c r="J94" s="1"/>
      <c r="K94" s="1"/>
      <c r="L94" s="1"/>
      <c r="M94" s="9" t="s">
        <v>51</v>
      </c>
      <c r="N94" s="1">
        <f t="shared" ref="N94:O94" si="10">N93/(2*sqrt(2*ln(2)))</f>
        <v>0.3015092391</v>
      </c>
      <c r="O94" s="1">
        <f t="shared" si="10"/>
        <v>0.4161676821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 t="s">
        <v>52</v>
      </c>
      <c r="C95" s="1" t="s">
        <v>53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 t="s">
        <v>54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0">
        <v>0.75</v>
      </c>
      <c r="B99" s="1">
        <v>0.81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" t="s">
        <v>10</v>
      </c>
      <c r="B100" s="1">
        <v>0.69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0">
        <v>0.25</v>
      </c>
      <c r="B101" s="1">
        <v>0.6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" t="s">
        <v>55</v>
      </c>
      <c r="B103" s="1">
        <v>0.72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" t="s">
        <v>56</v>
      </c>
      <c r="B104" s="1">
        <v>0.18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 t="s">
        <v>57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10</v>
      </c>
      <c r="B109" s="1">
        <v>1.74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55</v>
      </c>
      <c r="B110" s="1">
        <v>1.94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56</v>
      </c>
      <c r="B111" s="1">
        <v>0.73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/>
      <c r="B113" s="8"/>
      <c r="C113" s="8"/>
      <c r="D113" s="8"/>
      <c r="E113" s="1"/>
      <c r="F113" s="1"/>
      <c r="G113" s="1"/>
      <c r="H113" s="1"/>
      <c r="I113" s="1"/>
      <c r="J113" s="1"/>
      <c r="K113" s="1"/>
      <c r="L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1"/>
      <c r="F114" s="1"/>
      <c r="G114" s="1"/>
      <c r="H114" s="1"/>
      <c r="I114" s="1"/>
      <c r="J114" s="1"/>
      <c r="K114" s="1"/>
      <c r="L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1"/>
      <c r="F115" s="1"/>
      <c r="G115" s="1"/>
      <c r="H115" s="1"/>
      <c r="I115" s="1"/>
      <c r="J115" s="1"/>
      <c r="K115" s="1"/>
      <c r="L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1"/>
      <c r="E116" s="1"/>
      <c r="F116" s="1"/>
      <c r="G116" s="1"/>
      <c r="H116" s="1"/>
      <c r="I116" s="1"/>
      <c r="J116" s="1"/>
      <c r="K116" s="1"/>
      <c r="L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1"/>
      <c r="E117" s="1"/>
      <c r="F117" s="1"/>
      <c r="G117" s="1"/>
      <c r="H117" s="1"/>
      <c r="I117" s="1"/>
      <c r="J117" s="1"/>
      <c r="K117" s="1"/>
      <c r="L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1"/>
      <c r="E118" s="1"/>
      <c r="F118" s="1"/>
      <c r="G118" s="1"/>
      <c r="H118" s="1"/>
      <c r="I118" s="1"/>
      <c r="J118" s="1"/>
      <c r="K118" s="1"/>
      <c r="L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58</v>
      </c>
      <c r="B119" s="1" t="s">
        <v>59</v>
      </c>
      <c r="C119" s="1" t="s">
        <v>60</v>
      </c>
      <c r="D119" s="1"/>
      <c r="E119" s="1"/>
      <c r="F119" s="1"/>
      <c r="G119" s="1"/>
      <c r="H119" s="1"/>
      <c r="I119" s="1"/>
      <c r="J119" s="1"/>
      <c r="K119" s="1"/>
      <c r="L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9" t="s">
        <v>61</v>
      </c>
      <c r="B120" s="1" t="s">
        <v>62</v>
      </c>
      <c r="C120" s="1" t="s">
        <v>63</v>
      </c>
      <c r="D120" s="1"/>
      <c r="E120" s="1"/>
      <c r="F120" s="1"/>
      <c r="G120" s="1"/>
      <c r="H120" s="1"/>
      <c r="I120" s="1"/>
      <c r="J120" s="1"/>
      <c r="K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>
        <v>0.12739827004320287</v>
      </c>
      <c r="B121" s="1">
        <v>2.8111083164420245E-4</v>
      </c>
      <c r="C121" s="1">
        <v>2.8111083164420245E-4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>
        <v>0.16986436005760383</v>
      </c>
      <c r="B122" s="1">
        <v>0.014031384886137517</v>
      </c>
      <c r="C122" s="1">
        <v>0.01431249571778172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>
        <v>0.21233045007200477</v>
      </c>
      <c r="B123" s="1">
        <v>0.042280683099774514</v>
      </c>
      <c r="C123" s="1">
        <v>0.05659317881755623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>
        <v>0.25479654008640573</v>
      </c>
      <c r="B124" s="1">
        <v>0.08167961434379256</v>
      </c>
      <c r="C124" s="1">
        <v>0.1382727931613488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>
        <v>0.29726263010080667</v>
      </c>
      <c r="B125" s="1">
        <v>0.11065775411942538</v>
      </c>
      <c r="C125" s="1">
        <v>0.24893054728077418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>
        <v>0.33972872011520766</v>
      </c>
      <c r="B126" s="1">
        <v>0.12715060459574706</v>
      </c>
      <c r="C126" s="1">
        <v>0.37608115187652125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>
        <v>0.3821948101296086</v>
      </c>
      <c r="B127" s="1">
        <v>0.1290186073206142</v>
      </c>
      <c r="C127" s="1">
        <v>0.5050997591971355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>
        <v>0.42466090014400953</v>
      </c>
      <c r="B128" s="1">
        <v>0.11709759487812196</v>
      </c>
      <c r="C128" s="1">
        <v>0.6221973540752574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>
        <v>0.4671269901584105</v>
      </c>
      <c r="B129" s="1">
        <v>0.09506871661203889</v>
      </c>
      <c r="C129" s="1">
        <v>0.7172660706872963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>
        <v>0.5095930801728115</v>
      </c>
      <c r="B130" s="1">
        <v>0.0754174694468394</v>
      </c>
      <c r="C130" s="1">
        <v>0.7926835401341357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>
        <v>0.5520591701872124</v>
      </c>
      <c r="B131" s="1">
        <v>0.057981013548457604</v>
      </c>
      <c r="C131" s="1">
        <v>0.8506645536825933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>
        <v>0.5945252602016133</v>
      </c>
      <c r="B132" s="1">
        <v>0.043095136203773615</v>
      </c>
      <c r="C132" s="1">
        <v>0.8937596898863669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>
        <v>0.6369913502160143</v>
      </c>
      <c r="B133" s="1">
        <v>0.03120206378696734</v>
      </c>
      <c r="C133" s="1">
        <v>0.9249617536733342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>
        <v>0.6794574402304153</v>
      </c>
      <c r="B134" s="1">
        <v>0.02166080815455366</v>
      </c>
      <c r="C134" s="1">
        <v>0.9466225618278878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>
        <v>0.7219235302448161</v>
      </c>
      <c r="B135" s="1">
        <v>0.015241485483643031</v>
      </c>
      <c r="C135" s="1">
        <v>0.9618640473115309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>
        <v>0.7643896202592172</v>
      </c>
      <c r="B136" s="1">
        <v>0.010735170721155053</v>
      </c>
      <c r="C136" s="1">
        <v>0.9725992180326859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>
        <v>0.806855710273618</v>
      </c>
      <c r="B137" s="1">
        <v>0.007297771155336049</v>
      </c>
      <c r="C137" s="1">
        <v>0.9798969891880219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>
        <v>0.8493218002880191</v>
      </c>
      <c r="B138" s="1">
        <v>0.0051258453756621615</v>
      </c>
      <c r="C138" s="1">
        <v>0.9850228345636841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>
        <v>0.89178789030242</v>
      </c>
      <c r="B139" s="1">
        <v>0.003805149574870452</v>
      </c>
      <c r="C139" s="1">
        <v>0.9888279841385545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>
        <v>0.934253980316821</v>
      </c>
      <c r="B140" s="1">
        <v>0.002902941967484515</v>
      </c>
      <c r="C140" s="1">
        <v>0.9917309261060391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>
        <v>0.9767200703312219</v>
      </c>
      <c r="B141" s="1">
        <v>0.0023499902354892238</v>
      </c>
      <c r="C141" s="1">
        <v>0.9940809163415283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>
        <v>1.019186160345623</v>
      </c>
      <c r="B142" s="1">
        <v>0.0015473448346103825</v>
      </c>
      <c r="C142" s="1">
        <v>0.9956282611761387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>
        <v>1.0616522503600239</v>
      </c>
      <c r="B143" s="1">
        <v>0.0011843390421870186</v>
      </c>
      <c r="C143" s="1">
        <v>0.9968126002183257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>
        <v>1.1041183403744248</v>
      </c>
      <c r="B144" s="1">
        <v>0.0010929347059653082</v>
      </c>
      <c r="C144" s="1">
        <v>0.997905534924291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>
        <v>1.1465844303888257</v>
      </c>
      <c r="B145" s="1">
        <v>8.200274735319158E-4</v>
      </c>
      <c r="C145" s="1">
        <v>0.998725562397823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>
        <v>1.1890505204032267</v>
      </c>
      <c r="B146" s="1">
        <v>5.458144648667848E-4</v>
      </c>
      <c r="C146" s="1">
        <v>0.9992713768626897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>
        <v>1.2315166104176276</v>
      </c>
      <c r="B147" s="1">
        <v>4.5571590487681306E-4</v>
      </c>
      <c r="C147" s="1">
        <v>0.9997270927675665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>
        <v>1.2739827004320285</v>
      </c>
      <c r="B148" s="1">
        <v>2.729072324333924E-4</v>
      </c>
      <c r="C148" s="1">
        <v>0.9999999999999999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87:R90"/>
  </mergeCells>
  <drawing r:id="rId1"/>
</worksheet>
</file>